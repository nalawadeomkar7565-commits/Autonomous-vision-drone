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sters\Projects\The Drone Project TDP\BOM\"/>
    </mc:Choice>
  </mc:AlternateContent>
  <xr:revisionPtr revIDLastSave="0" documentId="13_ncr:1_{AB03BE50-5A2E-4FD4-B087-9FD99D30A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ware BOM" sheetId="1" r:id="rId1"/>
    <sheet name="Expenditure" sheetId="3" r:id="rId2"/>
    <sheet name="Current Running Part No.s" sheetId="2" r:id="rId3"/>
  </sheets>
  <definedNames>
    <definedName name="_xlnm._FilterDatabase" localSheetId="0" hidden="1">'Hardware BOM'!$A$3:$U$3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11" i="3"/>
  <c r="G10" i="3"/>
  <c r="G4" i="3"/>
  <c r="G5" i="3"/>
  <c r="G6" i="3"/>
  <c r="G7" i="3"/>
  <c r="G8" i="3"/>
  <c r="G9" i="3"/>
  <c r="G3" i="3"/>
  <c r="O4" i="1"/>
  <c r="T4" i="1"/>
  <c r="T6" i="1"/>
  <c r="T7" i="1"/>
  <c r="T8" i="1"/>
  <c r="T9" i="1"/>
  <c r="T5" i="1"/>
  <c r="T10" i="1"/>
  <c r="K4" i="1"/>
  <c r="T19" i="1" l="1"/>
</calcChain>
</file>

<file path=xl/sharedStrings.xml><?xml version="1.0" encoding="utf-8"?>
<sst xmlns="http://schemas.openxmlformats.org/spreadsheetml/2006/main" count="150" uniqueCount="91">
  <si>
    <t>Category</t>
  </si>
  <si>
    <t>Component</t>
  </si>
  <si>
    <t>Quantity</t>
  </si>
  <si>
    <t>Estimated Cost (€)</t>
  </si>
  <si>
    <t>Notes</t>
  </si>
  <si>
    <t>Vision Processing</t>
  </si>
  <si>
    <t>Raspberry Pi 5 (4GB)</t>
  </si>
  <si>
    <t>Main companion computer</t>
  </si>
  <si>
    <t>Raspberry Pi Active Cooler</t>
  </si>
  <si>
    <t>Heat sink and fan</t>
  </si>
  <si>
    <t>Hailo-8L M.2 AI HAT</t>
  </si>
  <si>
    <t>AI Accelerator (13 TOPS)</t>
  </si>
  <si>
    <t>Sony IMX708, wide FOV, HDR</t>
  </si>
  <si>
    <t>15-to-22 pin CSI Cable</t>
  </si>
  <si>
    <t>Camera Mount &amp; Bobbins</t>
  </si>
  <si>
    <t>Anti-vibration for rolling shutter</t>
  </si>
  <si>
    <t>A1/A2 rated for OS and YOLO</t>
  </si>
  <si>
    <t>Hobbywing 5A UBEC</t>
  </si>
  <si>
    <t>5V step-down for Pi 5</t>
  </si>
  <si>
    <t>Flight Control</t>
  </si>
  <si>
    <t>SpeedyBee F405 V4 55A Stack</t>
  </si>
  <si>
    <t>Flight Controller + 4-in-1 ESC Stack</t>
  </si>
  <si>
    <t>Low-ESR Capacitor</t>
  </si>
  <si>
    <t>TBD</t>
  </si>
  <si>
    <t>Usually included with ESC stack</t>
  </si>
  <si>
    <t>Propulsion</t>
  </si>
  <si>
    <t>Motors</t>
  </si>
  <si>
    <t>TBD based on endurance calculations</t>
  </si>
  <si>
    <t>Propellers</t>
  </si>
  <si>
    <t>Drone Frame</t>
  </si>
  <si>
    <t>Battery</t>
  </si>
  <si>
    <t>TBD (Likely custom Li-Ion pack)</t>
  </si>
  <si>
    <t>Project:</t>
  </si>
  <si>
    <t>Date:</t>
  </si>
  <si>
    <t>The Drone Project - TDP</t>
  </si>
  <si>
    <t>Part No.</t>
  </si>
  <si>
    <t>VP001</t>
  </si>
  <si>
    <t>VP002</t>
  </si>
  <si>
    <t>VP003</t>
  </si>
  <si>
    <t>VP004</t>
  </si>
  <si>
    <t>VP005</t>
  </si>
  <si>
    <t>VP006</t>
  </si>
  <si>
    <t>VP007</t>
  </si>
  <si>
    <t>VP008</t>
  </si>
  <si>
    <t>FC001</t>
  </si>
  <si>
    <t>SY001</t>
  </si>
  <si>
    <t>SY004</t>
  </si>
  <si>
    <t>PR001</t>
  </si>
  <si>
    <t>PR002</t>
  </si>
  <si>
    <t>SY002</t>
  </si>
  <si>
    <t>SY003</t>
  </si>
  <si>
    <t>Cost (€)</t>
  </si>
  <si>
    <t>Link 1</t>
  </si>
  <si>
    <t>Link 2</t>
  </si>
  <si>
    <t>Link 3</t>
  </si>
  <si>
    <t>Final Cost (€)</t>
  </si>
  <si>
    <t>Welectron</t>
  </si>
  <si>
    <t>buyzero</t>
  </si>
  <si>
    <t>Technik LPE</t>
  </si>
  <si>
    <t>Offizielles Raspberry Pi 27W USB-C</t>
  </si>
  <si>
    <t>Cost (€)2</t>
  </si>
  <si>
    <t>Cost (€)4</t>
  </si>
  <si>
    <t>Total</t>
  </si>
  <si>
    <t>Main Cable from the Camera</t>
  </si>
  <si>
    <t>Bench Power Supply for the Rasp Pi 5</t>
  </si>
  <si>
    <t>Combined Cost (€)</t>
  </si>
  <si>
    <t>Raspberry Pi Camera Module 3 Wide + 15 pin Cable</t>
  </si>
  <si>
    <t xml:space="preserve">Vision Processing </t>
  </si>
  <si>
    <t>Part No. latest</t>
  </si>
  <si>
    <t>System</t>
  </si>
  <si>
    <t>Amazon</t>
  </si>
  <si>
    <t>reichelt</t>
  </si>
  <si>
    <t>Funk24.net</t>
  </si>
  <si>
    <t>Link 4</t>
  </si>
  <si>
    <t>x</t>
  </si>
  <si>
    <t>BerryBase</t>
  </si>
  <si>
    <t>MicroSD Card (64GB) - SanDisk Extreme (Red + Gold)</t>
  </si>
  <si>
    <t>Status</t>
  </si>
  <si>
    <t>=</t>
  </si>
  <si>
    <t>BOM_C001_Rev.A</t>
  </si>
  <si>
    <t>Received</t>
  </si>
  <si>
    <t>Update:</t>
  </si>
  <si>
    <t xml:space="preserve">Sr. No. </t>
  </si>
  <si>
    <t xml:space="preserve">Part No. </t>
  </si>
  <si>
    <t>Description</t>
  </si>
  <si>
    <t>Rate</t>
  </si>
  <si>
    <t>Qty</t>
  </si>
  <si>
    <t>Cost</t>
  </si>
  <si>
    <t>-</t>
  </si>
  <si>
    <t>Precision Tool Kit</t>
  </si>
  <si>
    <t>SD Card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</si>
</sst>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0" borderId="0" applyNumberFormat="0" applyFill="0" applyBorder="0" applyAlignment="0" applyProtection="0"/>
    <xf numFmtId="0" fontId="7" fillId="7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" xfId="0" applyBorder="1"/>
    <xf numFmtId="164" fontId="0" fillId="0" borderId="0" xfId="0" applyNumberFormat="1" applyAlignment="1">
      <alignment horizontal="left"/>
    </xf>
    <xf numFmtId="164" fontId="0" fillId="0" borderId="1" xfId="0" applyNumberFormat="1" applyBorder="1"/>
    <xf numFmtId="164" fontId="0" fillId="0" borderId="1" xfId="0" applyNumberFormat="1" applyBorder="1" applyAlignment="1">
      <alignment horizontal="left"/>
    </xf>
    <xf numFmtId="164" fontId="6" fillId="0" borderId="1" xfId="0" applyNumberFormat="1" applyFont="1" applyBorder="1"/>
    <xf numFmtId="164" fontId="3" fillId="3" borderId="1" xfId="2" applyNumberFormat="1" applyBorder="1"/>
    <xf numFmtId="164" fontId="3" fillId="3" borderId="1" xfId="2" applyNumberFormat="1" applyBorder="1" applyAlignment="1">
      <alignment horizontal="left"/>
    </xf>
    <xf numFmtId="164" fontId="3" fillId="3" borderId="0" xfId="2" applyNumberFormat="1"/>
    <xf numFmtId="0" fontId="3" fillId="3" borderId="0" xfId="2"/>
    <xf numFmtId="0" fontId="3" fillId="5" borderId="1" xfId="4" applyBorder="1" applyAlignment="1">
      <alignment horizontal="right"/>
    </xf>
    <xf numFmtId="0" fontId="1" fillId="6" borderId="1" xfId="5" applyBorder="1" applyAlignment="1">
      <alignment horizontal="left"/>
    </xf>
    <xf numFmtId="14" fontId="1" fillId="6" borderId="1" xfId="5" applyNumberFormat="1" applyBorder="1" applyAlignment="1">
      <alignment horizontal="left"/>
    </xf>
    <xf numFmtId="164" fontId="1" fillId="4" borderId="1" xfId="3" applyNumberFormat="1" applyBorder="1"/>
    <xf numFmtId="164" fontId="1" fillId="4" borderId="1" xfId="3" applyNumberFormat="1" applyBorder="1" applyAlignment="1">
      <alignment horizontal="left"/>
    </xf>
    <xf numFmtId="164" fontId="4" fillId="4" borderId="1" xfId="6" applyNumberFormat="1" applyFill="1" applyBorder="1"/>
    <xf numFmtId="3" fontId="1" fillId="4" borderId="1" xfId="3" applyNumberFormat="1" applyBorder="1"/>
    <xf numFmtId="3" fontId="0" fillId="0" borderId="1" xfId="0" applyNumberFormat="1" applyBorder="1"/>
    <xf numFmtId="164" fontId="6" fillId="4" borderId="1" xfId="3" applyNumberFormat="1" applyFont="1" applyBorder="1"/>
    <xf numFmtId="164" fontId="0" fillId="4" borderId="1" xfId="3" applyNumberFormat="1" applyFont="1" applyBorder="1"/>
    <xf numFmtId="164" fontId="2" fillId="2" borderId="2" xfId="1" applyNumberFormat="1" applyAlignment="1">
      <alignment horizontal="right"/>
    </xf>
    <xf numFmtId="164" fontId="2" fillId="2" borderId="2" xfId="1" quotePrefix="1" applyNumberFormat="1"/>
    <xf numFmtId="164" fontId="2" fillId="2" borderId="2" xfId="1" applyNumberFormat="1"/>
    <xf numFmtId="0" fontId="8" fillId="0" borderId="0" xfId="0" applyFont="1"/>
    <xf numFmtId="164" fontId="7" fillId="7" borderId="3" xfId="7" applyNumberFormat="1" applyBorder="1"/>
    <xf numFmtId="164" fontId="9" fillId="7" borderId="1" xfId="7" applyNumberFormat="1" applyFont="1" applyBorder="1"/>
    <xf numFmtId="0" fontId="2" fillId="2" borderId="2" xfId="1"/>
    <xf numFmtId="164" fontId="1" fillId="4" borderId="4" xfId="3" applyNumberFormat="1" applyBorder="1" applyAlignment="1">
      <alignment horizontal="center" vertical="center"/>
    </xf>
    <xf numFmtId="164" fontId="1" fillId="4" borderId="5" xfId="3" applyNumberFormat="1" applyBorder="1" applyAlignment="1">
      <alignment horizontal="center" vertical="center"/>
    </xf>
    <xf numFmtId="164" fontId="1" fillId="4" borderId="6" xfId="3" applyNumberFormat="1" applyBorder="1" applyAlignment="1">
      <alignment horizontal="center" vertical="center"/>
    </xf>
  </cellXfs>
  <cellStyles count="8">
    <cellStyle name="20% - Accent1" xfId="3" builtinId="30"/>
    <cellStyle name="20% - Accent3" xfId="5" builtinId="38"/>
    <cellStyle name="Accent1" xfId="2" builtinId="29"/>
    <cellStyle name="Accent3" xfId="4" builtinId="37"/>
    <cellStyle name="Calculation" xfId="1" builtinId="22"/>
    <cellStyle name="Good" xfId="7" builtinId="26"/>
    <cellStyle name="Hyperlink" xfId="6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rrybase.de/en/raspberry-pi-27w-usb-c-power-supply-power-supply-unit-black" TargetMode="External"/><Relationship Id="rId13" Type="http://schemas.openxmlformats.org/officeDocument/2006/relationships/hyperlink" Target="https://shop.technik-lpe.de/suche?controller=search&amp;s=Raspberry+Pi+Camera+Module+3+Wide" TargetMode="External"/><Relationship Id="rId3" Type="http://schemas.openxmlformats.org/officeDocument/2006/relationships/hyperlink" Target="https://www.welectron.com/Raspberry-Pi-5-4-GB-Cooler-Kit" TargetMode="External"/><Relationship Id="rId7" Type="http://schemas.openxmlformats.org/officeDocument/2006/relationships/hyperlink" Target="https://shop.technik-lpe.de/add-on-boards/3019-raspberry-pi-ai-hat-13-tops-hailo-8l-accelerator-5056561804149.html?src=raspberrypi" TargetMode="External"/><Relationship Id="rId12" Type="http://schemas.openxmlformats.org/officeDocument/2006/relationships/hyperlink" Target="https://shop.technik-lpe.de/suche?controller=search&amp;s=Raspberry+Pi+Active+Cooler" TargetMode="External"/><Relationship Id="rId2" Type="http://schemas.openxmlformats.org/officeDocument/2006/relationships/hyperlink" Target="https://buyzero.de/en/collections/raspberry-pi-5-und-zubehoer/products/raspberry-pi-5?variant=44595012600075&amp;src=raspberrypi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hop.technik-lpe.de/raspberry-pi-computer/2411-raspberry-pi-5-4gb-ram-5056561803319.html?src=raspberrypi" TargetMode="External"/><Relationship Id="rId6" Type="http://schemas.openxmlformats.org/officeDocument/2006/relationships/hyperlink" Target="https://shop.funk24.net/Raspberry-Pi-AI-HAT-13-TOPS?src=raspberrypi" TargetMode="External"/><Relationship Id="rId11" Type="http://schemas.openxmlformats.org/officeDocument/2006/relationships/hyperlink" Target="https://www.berrybase.de/en/raspberry-pi-camera-cable-standard-mini-200mm" TargetMode="External"/><Relationship Id="rId5" Type="http://schemas.openxmlformats.org/officeDocument/2006/relationships/hyperlink" Target="https://www.reichelt.de/de/de/shop/produkt/raspberry_pi_shield_-_ai_ki_13_tops_hailo_8l-390446?utm_source=display&amp;utm_medium=rsp-foundation&amp;" TargetMode="External"/><Relationship Id="rId15" Type="http://schemas.openxmlformats.org/officeDocument/2006/relationships/hyperlink" Target="https://www.berrybase.de/en/sandisk-extreme-microsdxc-a2-uhs-i-u3-v30-170mb-s-memory-card-adapter-64gb" TargetMode="External"/><Relationship Id="rId10" Type="http://schemas.openxmlformats.org/officeDocument/2006/relationships/hyperlink" Target="https://www.berrybase.de/en/raspberry-pi-camera-module-3-wide-12mp" TargetMode="External"/><Relationship Id="rId4" Type="http://schemas.openxmlformats.org/officeDocument/2006/relationships/hyperlink" Target="https://www.amazon.de/-/en/SANDISK-64GB-Extreme-microSDXC-Adapter/dp/B09X7CXWQQ/ref=sr_1_4?crid=UDCB4AMBWDFL&amp;dib=eyJ2IjoiMSJ9.9DIR1s-hm2LZ-12vadgadcVpNTD7hsUGoxtcM4BzdOUY0EEjyXmNWqeSSCb3S2nsdf6xrfnUJLXAtShztr92DbxEbyfg6CXB7tUk-sDixpuI5-sJ0szftJjtI2MqP6lYQ3rrt1BznqrI51YG5W4M7UoBR_ivrBFGB5T8qrxNFTM5gjdPQcUJS6gV64lrAKDRsc7oaF6gelXaznXeoo2Nv6v36M9vNkbu9ZlXVeOSANg.5znWA2gi9T7EflOKLP1oKbJSkSw9tQh1EqwfORARYXU&amp;dib_tag=se&amp;keywords=MicroSD%2BCard%2B(64GB)%2B-%2BSanDisk%2BExtreme&amp;qid=1789922146&amp;sprefix=microsd%2Bcard%2B64gb%2B-%2Bsandisk%2Bextreme%2Caps%2C129&amp;sr=8-4&amp;th=1" TargetMode="External"/><Relationship Id="rId9" Type="http://schemas.openxmlformats.org/officeDocument/2006/relationships/hyperlink" Target="https://www.berrybase.de/en/raspberry-pi-active-cooler-fan-for-raspberry-pi-5" TargetMode="External"/><Relationship Id="rId14" Type="http://schemas.openxmlformats.org/officeDocument/2006/relationships/hyperlink" Target="https://shop.technik-lpe.de/kameras-displays/2404-raspberry-pi-camera-cable-standard-mini-200mm-505656180355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4"/>
  <sheetViews>
    <sheetView tabSelected="1" zoomScale="115" zoomScaleNormal="115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Q21" sqref="Q21"/>
    </sheetView>
  </sheetViews>
  <sheetFormatPr defaultRowHeight="14.4" x14ac:dyDescent="0.3"/>
  <cols>
    <col min="1" max="1" width="22" customWidth="1"/>
    <col min="2" max="2" width="8.77734375" customWidth="1"/>
    <col min="3" max="3" width="44.44140625" customWidth="1"/>
    <col min="4" max="4" width="9.77734375" customWidth="1"/>
    <col min="5" max="5" width="16.77734375" style="1" customWidth="1"/>
    <col min="6" max="6" width="32.5546875" customWidth="1"/>
    <col min="7" max="7" width="10.77734375" style="2" customWidth="1"/>
    <col min="8" max="8" width="9" customWidth="1"/>
    <col min="9" max="9" width="2.21875" customWidth="1"/>
    <col min="10" max="10" width="10.77734375" style="2" customWidth="1"/>
    <col min="11" max="11" width="10" customWidth="1"/>
    <col min="12" max="12" width="2.21875" customWidth="1"/>
    <col min="13" max="13" width="10.77734375" style="2" customWidth="1"/>
    <col min="14" max="14" width="10" customWidth="1"/>
    <col min="15" max="15" width="16.44140625" customWidth="1"/>
    <col min="16" max="16" width="2.21875" customWidth="1"/>
    <col min="17" max="17" width="10.77734375" style="2" customWidth="1"/>
    <col min="18" max="18" width="10" customWidth="1"/>
    <col min="19" max="19" width="2.21875" customWidth="1"/>
    <col min="20" max="20" width="13.44140625" customWidth="1"/>
  </cols>
  <sheetData>
    <row r="1" spans="1:21" ht="18" x14ac:dyDescent="0.35">
      <c r="A1" s="26" t="s">
        <v>79</v>
      </c>
      <c r="B1" s="13" t="s">
        <v>32</v>
      </c>
      <c r="C1" s="14" t="s">
        <v>34</v>
      </c>
    </row>
    <row r="2" spans="1:21" x14ac:dyDescent="0.3">
      <c r="B2" s="13" t="s">
        <v>33</v>
      </c>
      <c r="C2" s="15">
        <v>46285</v>
      </c>
      <c r="D2" s="13" t="s">
        <v>81</v>
      </c>
      <c r="E2" s="15">
        <v>46288</v>
      </c>
    </row>
    <row r="3" spans="1:21" s="12" customFormat="1" x14ac:dyDescent="0.3">
      <c r="A3" s="9" t="s">
        <v>0</v>
      </c>
      <c r="B3" s="9" t="s">
        <v>35</v>
      </c>
      <c r="C3" s="9" t="s">
        <v>1</v>
      </c>
      <c r="D3" s="9" t="s">
        <v>2</v>
      </c>
      <c r="E3" s="10" t="s">
        <v>3</v>
      </c>
      <c r="F3" s="9" t="s">
        <v>4</v>
      </c>
      <c r="G3" s="9" t="s">
        <v>52</v>
      </c>
      <c r="H3" s="9" t="s">
        <v>51</v>
      </c>
      <c r="I3" s="9"/>
      <c r="J3" s="9" t="s">
        <v>53</v>
      </c>
      <c r="K3" s="9" t="s">
        <v>60</v>
      </c>
      <c r="L3" s="9"/>
      <c r="M3" s="9" t="s">
        <v>54</v>
      </c>
      <c r="N3" s="9" t="s">
        <v>61</v>
      </c>
      <c r="O3" s="9" t="s">
        <v>65</v>
      </c>
      <c r="P3" s="9"/>
      <c r="Q3" s="9" t="s">
        <v>73</v>
      </c>
      <c r="R3" s="9" t="s">
        <v>61</v>
      </c>
      <c r="S3" s="9"/>
      <c r="T3" s="9" t="s">
        <v>55</v>
      </c>
      <c r="U3" s="11" t="s">
        <v>77</v>
      </c>
    </row>
    <row r="4" spans="1:21" ht="16.05" customHeight="1" x14ac:dyDescent="0.3">
      <c r="A4" s="16" t="s">
        <v>5</v>
      </c>
      <c r="B4" s="16" t="s">
        <v>36</v>
      </c>
      <c r="C4" s="16" t="s">
        <v>6</v>
      </c>
      <c r="D4" s="19">
        <v>1</v>
      </c>
      <c r="E4" s="17">
        <v>75</v>
      </c>
      <c r="F4" s="16" t="s">
        <v>7</v>
      </c>
      <c r="G4" s="16" t="s">
        <v>58</v>
      </c>
      <c r="H4" s="16">
        <v>116.5</v>
      </c>
      <c r="I4" s="16"/>
      <c r="J4" s="16" t="s">
        <v>57</v>
      </c>
      <c r="K4" s="16">
        <f>118.89+5.95</f>
        <v>124.84</v>
      </c>
      <c r="L4" s="16"/>
      <c r="M4" s="30" t="s">
        <v>56</v>
      </c>
      <c r="N4" s="27">
        <v>118</v>
      </c>
      <c r="O4" s="30">
        <f>SUM(N4:N9)</f>
        <v>172.60000000000002</v>
      </c>
      <c r="P4" s="16"/>
      <c r="Q4" s="16"/>
      <c r="R4" s="16"/>
      <c r="S4" s="16"/>
      <c r="T4" s="21">
        <f>N4</f>
        <v>118</v>
      </c>
      <c r="U4" s="28" t="s">
        <v>80</v>
      </c>
    </row>
    <row r="5" spans="1:21" ht="16.05" customHeight="1" x14ac:dyDescent="0.3">
      <c r="A5" s="16" t="s">
        <v>5</v>
      </c>
      <c r="B5" s="16" t="s">
        <v>37</v>
      </c>
      <c r="C5" s="16" t="s">
        <v>8</v>
      </c>
      <c r="D5" s="19">
        <v>1</v>
      </c>
      <c r="E5" s="17">
        <v>8</v>
      </c>
      <c r="F5" s="16" t="s">
        <v>9</v>
      </c>
      <c r="G5" s="18" t="s">
        <v>75</v>
      </c>
      <c r="H5" s="16">
        <v>5.9</v>
      </c>
      <c r="I5" s="16"/>
      <c r="J5" s="18" t="s">
        <v>58</v>
      </c>
      <c r="K5" s="16">
        <v>5.9</v>
      </c>
      <c r="L5" s="16"/>
      <c r="M5" s="31"/>
      <c r="N5" s="27">
        <v>4.9000000000000004</v>
      </c>
      <c r="O5" s="31"/>
      <c r="P5" s="16"/>
      <c r="Q5" s="16"/>
      <c r="R5" s="16"/>
      <c r="S5" s="16"/>
      <c r="T5" s="21">
        <f>N5</f>
        <v>4.9000000000000004</v>
      </c>
      <c r="U5" s="28" t="s">
        <v>80</v>
      </c>
    </row>
    <row r="6" spans="1:21" ht="16.05" customHeight="1" x14ac:dyDescent="0.3">
      <c r="A6" s="16" t="s">
        <v>5</v>
      </c>
      <c r="B6" s="16" t="s">
        <v>38</v>
      </c>
      <c r="C6" s="16" t="s">
        <v>66</v>
      </c>
      <c r="D6" s="19">
        <v>1</v>
      </c>
      <c r="E6" s="17">
        <v>40</v>
      </c>
      <c r="F6" s="16" t="s">
        <v>12</v>
      </c>
      <c r="G6" s="18" t="s">
        <v>75</v>
      </c>
      <c r="H6" s="16">
        <v>39.9</v>
      </c>
      <c r="I6" s="16"/>
      <c r="J6" s="18" t="s">
        <v>58</v>
      </c>
      <c r="K6" s="16">
        <v>39.9</v>
      </c>
      <c r="L6" s="16"/>
      <c r="M6" s="31"/>
      <c r="N6" s="27">
        <v>35.9</v>
      </c>
      <c r="O6" s="31"/>
      <c r="P6" s="16"/>
      <c r="Q6" s="16"/>
      <c r="R6" s="16"/>
      <c r="S6" s="16"/>
      <c r="T6" s="21">
        <f>N6</f>
        <v>35.9</v>
      </c>
      <c r="U6" s="28" t="s">
        <v>80</v>
      </c>
    </row>
    <row r="7" spans="1:21" ht="16.05" customHeight="1" x14ac:dyDescent="0.3">
      <c r="A7" s="16" t="s">
        <v>5</v>
      </c>
      <c r="B7" s="16" t="s">
        <v>39</v>
      </c>
      <c r="C7" s="16" t="s">
        <v>13</v>
      </c>
      <c r="D7" s="19">
        <v>1</v>
      </c>
      <c r="E7" s="17"/>
      <c r="F7" s="16" t="s">
        <v>63</v>
      </c>
      <c r="G7" s="18" t="s">
        <v>75</v>
      </c>
      <c r="H7" s="16">
        <v>1.2</v>
      </c>
      <c r="I7" s="16"/>
      <c r="J7" s="18" t="s">
        <v>58</v>
      </c>
      <c r="K7" s="16">
        <v>1.2</v>
      </c>
      <c r="L7" s="16"/>
      <c r="M7" s="31"/>
      <c r="N7" s="27">
        <v>1.9</v>
      </c>
      <c r="O7" s="31"/>
      <c r="P7" s="16"/>
      <c r="Q7" s="16"/>
      <c r="R7" s="16"/>
      <c r="S7" s="16"/>
      <c r="T7" s="21">
        <f>N7</f>
        <v>1.9</v>
      </c>
      <c r="U7" s="28" t="s">
        <v>80</v>
      </c>
    </row>
    <row r="8" spans="1:21" ht="16.05" customHeight="1" x14ac:dyDescent="0.3">
      <c r="A8" s="16" t="s">
        <v>5</v>
      </c>
      <c r="B8" s="16" t="s">
        <v>40</v>
      </c>
      <c r="C8" s="22" t="s">
        <v>76</v>
      </c>
      <c r="D8" s="19">
        <v>1</v>
      </c>
      <c r="E8" s="17">
        <v>15</v>
      </c>
      <c r="F8" s="16" t="s">
        <v>16</v>
      </c>
      <c r="G8" s="18" t="s">
        <v>70</v>
      </c>
      <c r="H8" s="27">
        <v>23.99</v>
      </c>
      <c r="I8" s="16"/>
      <c r="J8" s="18" t="s">
        <v>75</v>
      </c>
      <c r="K8" s="16">
        <v>25.9</v>
      </c>
      <c r="L8" s="16"/>
      <c r="M8" s="31"/>
      <c r="N8" s="16"/>
      <c r="O8" s="31"/>
      <c r="P8" s="16"/>
      <c r="Q8" s="16"/>
      <c r="R8" s="16"/>
      <c r="S8" s="16"/>
      <c r="T8" s="21">
        <f>H8</f>
        <v>23.99</v>
      </c>
      <c r="U8" s="28" t="s">
        <v>80</v>
      </c>
    </row>
    <row r="9" spans="1:21" ht="16.05" customHeight="1" x14ac:dyDescent="0.3">
      <c r="A9" s="16" t="s">
        <v>5</v>
      </c>
      <c r="B9" s="16" t="s">
        <v>41</v>
      </c>
      <c r="C9" s="16" t="s">
        <v>59</v>
      </c>
      <c r="D9" s="19">
        <v>1</v>
      </c>
      <c r="E9" s="17"/>
      <c r="F9" s="16" t="s">
        <v>64</v>
      </c>
      <c r="G9" s="18" t="s">
        <v>75</v>
      </c>
      <c r="H9" s="16">
        <v>12.4</v>
      </c>
      <c r="I9" s="16"/>
      <c r="J9" s="16" t="s">
        <v>74</v>
      </c>
      <c r="K9" s="16" t="s">
        <v>74</v>
      </c>
      <c r="L9" s="16"/>
      <c r="M9" s="32"/>
      <c r="N9" s="27">
        <v>11.9</v>
      </c>
      <c r="O9" s="32"/>
      <c r="P9" s="16"/>
      <c r="Q9" s="16" t="s">
        <v>74</v>
      </c>
      <c r="R9" s="16" t="s">
        <v>74</v>
      </c>
      <c r="S9" s="16"/>
      <c r="T9" s="21">
        <f>N9</f>
        <v>11.9</v>
      </c>
      <c r="U9" s="28" t="s">
        <v>80</v>
      </c>
    </row>
    <row r="10" spans="1:21" ht="16.05" customHeight="1" x14ac:dyDescent="0.3">
      <c r="A10" s="16" t="s">
        <v>5</v>
      </c>
      <c r="B10" s="16" t="s">
        <v>42</v>
      </c>
      <c r="C10" s="16" t="s">
        <v>10</v>
      </c>
      <c r="D10" s="19">
        <v>1</v>
      </c>
      <c r="E10" s="17">
        <v>85</v>
      </c>
      <c r="F10" s="16" t="s">
        <v>11</v>
      </c>
      <c r="G10" s="18" t="s">
        <v>71</v>
      </c>
      <c r="H10" s="16">
        <v>79.5</v>
      </c>
      <c r="I10" s="16"/>
      <c r="J10" s="18" t="s">
        <v>72</v>
      </c>
      <c r="K10" s="16">
        <v>76.900000000000006</v>
      </c>
      <c r="L10" s="16"/>
      <c r="M10" s="16" t="s">
        <v>56</v>
      </c>
      <c r="N10" s="27">
        <v>74.900000000000006</v>
      </c>
      <c r="O10" s="16"/>
      <c r="P10" s="16"/>
      <c r="Q10" s="18" t="s">
        <v>58</v>
      </c>
      <c r="R10" s="16">
        <v>78.900000000000006</v>
      </c>
      <c r="S10" s="16"/>
      <c r="T10" s="21">
        <f>N10</f>
        <v>74.900000000000006</v>
      </c>
      <c r="U10" s="28" t="s">
        <v>80</v>
      </c>
    </row>
    <row r="11" spans="1:21" ht="16.05" customHeight="1" x14ac:dyDescent="0.3">
      <c r="A11" s="6" t="s">
        <v>69</v>
      </c>
      <c r="B11" s="6" t="s">
        <v>46</v>
      </c>
      <c r="C11" s="6" t="s">
        <v>14</v>
      </c>
      <c r="D11" s="20">
        <v>1</v>
      </c>
      <c r="E11" s="7">
        <v>10</v>
      </c>
      <c r="F11" s="6" t="s">
        <v>15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8"/>
      <c r="U11" s="6"/>
    </row>
    <row r="12" spans="1:21" ht="16.05" customHeight="1" x14ac:dyDescent="0.3">
      <c r="A12" s="6" t="s">
        <v>5</v>
      </c>
      <c r="B12" s="6" t="s">
        <v>43</v>
      </c>
      <c r="C12" s="6" t="s">
        <v>17</v>
      </c>
      <c r="D12" s="20">
        <v>1</v>
      </c>
      <c r="E12" s="7">
        <v>15</v>
      </c>
      <c r="F12" s="6" t="s">
        <v>18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8"/>
      <c r="U12" s="6"/>
    </row>
    <row r="13" spans="1:21" ht="16.05" customHeight="1" x14ac:dyDescent="0.3">
      <c r="A13" s="6" t="s">
        <v>19</v>
      </c>
      <c r="B13" s="6" t="s">
        <v>44</v>
      </c>
      <c r="C13" s="6" t="s">
        <v>20</v>
      </c>
      <c r="D13" s="20">
        <v>1</v>
      </c>
      <c r="E13" s="7">
        <v>75</v>
      </c>
      <c r="F13" s="6" t="s">
        <v>21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8"/>
      <c r="U13" s="6"/>
    </row>
    <row r="14" spans="1:21" ht="16.05" customHeight="1" x14ac:dyDescent="0.3">
      <c r="A14" s="6" t="s">
        <v>69</v>
      </c>
      <c r="B14" s="6" t="s">
        <v>45</v>
      </c>
      <c r="C14" s="6" t="s">
        <v>22</v>
      </c>
      <c r="D14" s="20">
        <v>1</v>
      </c>
      <c r="E14" s="7" t="s">
        <v>23</v>
      </c>
      <c r="F14" s="6" t="s">
        <v>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8"/>
      <c r="U14" s="6"/>
    </row>
    <row r="15" spans="1:21" ht="16.05" customHeight="1" x14ac:dyDescent="0.3">
      <c r="A15" s="6" t="s">
        <v>25</v>
      </c>
      <c r="B15" s="6" t="s">
        <v>47</v>
      </c>
      <c r="C15" s="6" t="s">
        <v>26</v>
      </c>
      <c r="D15" s="20">
        <v>4</v>
      </c>
      <c r="E15" s="7" t="s">
        <v>23</v>
      </c>
      <c r="F15" s="6" t="s">
        <v>27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8"/>
      <c r="U15" s="6"/>
    </row>
    <row r="16" spans="1:21" ht="16.05" customHeight="1" x14ac:dyDescent="0.3">
      <c r="A16" s="6" t="s">
        <v>25</v>
      </c>
      <c r="B16" s="6" t="s">
        <v>48</v>
      </c>
      <c r="C16" s="6" t="s">
        <v>28</v>
      </c>
      <c r="D16" s="20">
        <v>4</v>
      </c>
      <c r="E16" s="7" t="s">
        <v>23</v>
      </c>
      <c r="F16" s="6" t="s">
        <v>27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8"/>
      <c r="U16" s="6"/>
    </row>
    <row r="17" spans="1:21" ht="16.05" customHeight="1" x14ac:dyDescent="0.3">
      <c r="A17" s="6" t="s">
        <v>69</v>
      </c>
      <c r="B17" s="6" t="s">
        <v>49</v>
      </c>
      <c r="C17" s="6" t="s">
        <v>29</v>
      </c>
      <c r="D17" s="20">
        <v>1</v>
      </c>
      <c r="E17" s="7" t="s">
        <v>23</v>
      </c>
      <c r="F17" s="6" t="s">
        <v>27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8"/>
      <c r="U17" s="6"/>
    </row>
    <row r="18" spans="1:21" ht="16.05" customHeight="1" x14ac:dyDescent="0.3">
      <c r="A18" s="6" t="s">
        <v>69</v>
      </c>
      <c r="B18" s="6" t="s">
        <v>50</v>
      </c>
      <c r="C18" s="6" t="s">
        <v>30</v>
      </c>
      <c r="D18" s="20">
        <v>1</v>
      </c>
      <c r="E18" s="7" t="s">
        <v>23</v>
      </c>
      <c r="F18" s="6" t="s">
        <v>31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8"/>
      <c r="U18" s="6"/>
    </row>
    <row r="19" spans="1:21" ht="16.05" customHeight="1" x14ac:dyDescent="0.3">
      <c r="A19" s="3"/>
      <c r="B19" s="3"/>
      <c r="C19" s="3"/>
      <c r="D19" s="3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23" t="s">
        <v>62</v>
      </c>
      <c r="S19" s="24" t="s">
        <v>78</v>
      </c>
      <c r="T19" s="25">
        <f>SUM(T4:T18)</f>
        <v>271.49</v>
      </c>
      <c r="U19" s="3"/>
    </row>
    <row r="20" spans="1:21" ht="16.05" customHeight="1" x14ac:dyDescent="0.3">
      <c r="N20" s="3"/>
      <c r="O20" s="3"/>
      <c r="P20" s="3"/>
      <c r="S20" s="3"/>
      <c r="T20" s="3"/>
    </row>
    <row r="21" spans="1:21" ht="16.05" customHeight="1" x14ac:dyDescent="0.3">
      <c r="M21" s="3"/>
      <c r="N21" s="3"/>
      <c r="O21" s="3"/>
      <c r="P21" s="3"/>
      <c r="S21" s="3"/>
      <c r="T21" s="3"/>
    </row>
    <row r="22" spans="1:21" ht="16.05" customHeight="1" x14ac:dyDescent="0.3">
      <c r="M22" s="3"/>
      <c r="N22" s="3"/>
      <c r="O22" s="3"/>
      <c r="P22" s="3"/>
      <c r="S22" s="3"/>
      <c r="T22" s="3"/>
    </row>
    <row r="23" spans="1:21" ht="16.05" customHeight="1" x14ac:dyDescent="0.3">
      <c r="M23" s="3"/>
      <c r="N23" s="3"/>
      <c r="O23" s="3"/>
      <c r="P23" s="3"/>
      <c r="S23" s="3"/>
      <c r="T23" s="3"/>
    </row>
    <row r="24" spans="1:21" ht="16.05" customHeight="1" x14ac:dyDescent="0.3">
      <c r="M24" s="3"/>
      <c r="N24" s="3"/>
      <c r="O24" s="3"/>
      <c r="P24" s="3"/>
      <c r="S24" s="3"/>
      <c r="T24" s="3"/>
    </row>
    <row r="25" spans="1:21" ht="16.05" customHeight="1" x14ac:dyDescent="0.3">
      <c r="M25" s="3"/>
      <c r="N25" s="3"/>
      <c r="O25" s="3"/>
    </row>
    <row r="26" spans="1:21" ht="16.05" customHeight="1" x14ac:dyDescent="0.3">
      <c r="M26" s="3"/>
      <c r="N26" s="3"/>
      <c r="O26" s="3"/>
    </row>
    <row r="27" spans="1:21" ht="16.05" customHeight="1" x14ac:dyDescent="0.3">
      <c r="M27" s="3"/>
      <c r="N27" s="3"/>
      <c r="O27" s="3"/>
    </row>
    <row r="28" spans="1:21" ht="16.05" customHeight="1" x14ac:dyDescent="0.3">
      <c r="M28" s="3"/>
      <c r="N28" s="3"/>
      <c r="O28" s="3"/>
    </row>
    <row r="29" spans="1:21" ht="16.05" customHeight="1" x14ac:dyDescent="0.3">
      <c r="M29" s="3"/>
      <c r="N29" s="3"/>
      <c r="O29" s="3"/>
    </row>
    <row r="30" spans="1:21" ht="16.05" customHeight="1" x14ac:dyDescent="0.3">
      <c r="M30" s="3"/>
      <c r="N30" s="3"/>
      <c r="O30" s="3"/>
    </row>
    <row r="31" spans="1:21" x14ac:dyDescent="0.3">
      <c r="M31" s="3"/>
      <c r="N31" s="3"/>
      <c r="O31" s="3"/>
    </row>
    <row r="32" spans="1:21" x14ac:dyDescent="0.3">
      <c r="M32" s="3"/>
      <c r="N32" s="3"/>
      <c r="O32" s="3"/>
    </row>
    <row r="33" spans="13:15" x14ac:dyDescent="0.3">
      <c r="M33" s="3"/>
      <c r="N33" s="3"/>
      <c r="O33" s="3"/>
    </row>
    <row r="34" spans="13:15" x14ac:dyDescent="0.3">
      <c r="M34" s="3"/>
      <c r="N34" s="3"/>
      <c r="O34" s="3"/>
    </row>
  </sheetData>
  <autoFilter ref="A3:U3" xr:uid="{00000000-0001-0000-0000-000000000000}"/>
  <mergeCells count="2">
    <mergeCell ref="O4:O9"/>
    <mergeCell ref="M4:M9"/>
  </mergeCells>
  <phoneticPr fontId="5" type="noConversion"/>
  <hyperlinks>
    <hyperlink ref="G4" r:id="rId1" xr:uid="{046040DA-0ACD-4F84-A2B9-C007FA8A5A63}"/>
    <hyperlink ref="J4" r:id="rId2" xr:uid="{05361FBD-22F5-4B3B-B074-FEE58D866622}"/>
    <hyperlink ref="M4" r:id="rId3" xr:uid="{A17B78ED-2EA0-45FC-ACA7-D98B7EE3C63D}"/>
    <hyperlink ref="G8" r:id="rId4" xr:uid="{B64BF830-7EF7-4FAB-B7EA-663B61995176}"/>
    <hyperlink ref="G10" r:id="rId5" xr:uid="{B6E81E0B-E5EF-485E-BB93-59AF91845F0A}"/>
    <hyperlink ref="J10" r:id="rId6" xr:uid="{1E73D9A9-53DE-45BC-82A0-90C66B799184}"/>
    <hyperlink ref="Q10" r:id="rId7" xr:uid="{6F183290-CECA-4BB7-BE7D-B05273F804AC}"/>
    <hyperlink ref="G9" r:id="rId8" xr:uid="{B5631A59-4F52-4057-A3D7-D509BAF45AA5}"/>
    <hyperlink ref="G5" r:id="rId9" xr:uid="{F98C57B5-342B-4B86-8DD6-F0234766FA65}"/>
    <hyperlink ref="G6" r:id="rId10" xr:uid="{4C2B4016-F0C4-4ED6-866E-E9BC04EF49CF}"/>
    <hyperlink ref="G7" r:id="rId11" xr:uid="{8B6B9A1D-2563-467E-B75D-594583CFDF55}"/>
    <hyperlink ref="J5" r:id="rId12" xr:uid="{B3C31A3A-BA61-4C72-B760-5E6E02D54454}"/>
    <hyperlink ref="J6" r:id="rId13" xr:uid="{52AAC38C-4ED2-4B16-BEC3-CAE9E9FAC1ED}"/>
    <hyperlink ref="J7" r:id="rId14" xr:uid="{3D922F9D-FD68-4AB1-AACB-E400014040FA}"/>
    <hyperlink ref="J8" r:id="rId15" xr:uid="{4D9C4826-7ED9-4646-8EBF-A337D285612A}"/>
  </hyperlinks>
  <pageMargins left="0.7" right="0.7" top="0.75" bottom="0.75" header="0.3" footer="0.3"/>
  <pageSetup scale="46" fitToHeight="0" orientation="landscape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6540-72ED-43DE-9395-5EB8AC809D8B}">
  <dimension ref="B2:G12"/>
  <sheetViews>
    <sheetView zoomScale="130" zoomScaleNormal="130" workbookViewId="0">
      <selection activeCell="D16" sqref="D16"/>
    </sheetView>
  </sheetViews>
  <sheetFormatPr defaultRowHeight="14.4" x14ac:dyDescent="0.3"/>
  <cols>
    <col min="4" max="4" width="44.88671875" customWidth="1"/>
  </cols>
  <sheetData>
    <row r="2" spans="2:7" x14ac:dyDescent="0.3">
      <c r="B2" s="4" t="s">
        <v>82</v>
      </c>
      <c r="C2" s="4" t="s">
        <v>83</v>
      </c>
      <c r="D2" s="4" t="s">
        <v>84</v>
      </c>
      <c r="E2" s="4" t="s">
        <v>85</v>
      </c>
      <c r="F2" s="4" t="s">
        <v>86</v>
      </c>
      <c r="G2" s="4" t="s">
        <v>87</v>
      </c>
    </row>
    <row r="3" spans="2:7" x14ac:dyDescent="0.3">
      <c r="B3" s="4">
        <v>1</v>
      </c>
      <c r="C3" s="4" t="s">
        <v>36</v>
      </c>
      <c r="D3" s="4" t="s">
        <v>6</v>
      </c>
      <c r="E3" s="4">
        <v>118</v>
      </c>
      <c r="F3" s="4">
        <v>1</v>
      </c>
      <c r="G3" s="4">
        <f>E3*F3</f>
        <v>118</v>
      </c>
    </row>
    <row r="4" spans="2:7" x14ac:dyDescent="0.3">
      <c r="B4" s="4">
        <v>2</v>
      </c>
      <c r="C4" s="4" t="s">
        <v>37</v>
      </c>
      <c r="D4" s="4" t="s">
        <v>8</v>
      </c>
      <c r="E4" s="4">
        <v>4.9000000000000004</v>
      </c>
      <c r="F4" s="4">
        <v>1</v>
      </c>
      <c r="G4" s="4">
        <f t="shared" ref="G4:G11" si="0">E4*F4</f>
        <v>4.9000000000000004</v>
      </c>
    </row>
    <row r="5" spans="2:7" x14ac:dyDescent="0.3">
      <c r="B5" s="4">
        <v>3</v>
      </c>
      <c r="C5" s="4" t="s">
        <v>38</v>
      </c>
      <c r="D5" s="4" t="s">
        <v>66</v>
      </c>
      <c r="E5" s="4">
        <v>35.9</v>
      </c>
      <c r="F5" s="4">
        <v>1</v>
      </c>
      <c r="G5" s="4">
        <f t="shared" si="0"/>
        <v>35.9</v>
      </c>
    </row>
    <row r="6" spans="2:7" x14ac:dyDescent="0.3">
      <c r="B6" s="4">
        <v>4</v>
      </c>
      <c r="C6" s="4" t="s">
        <v>39</v>
      </c>
      <c r="D6" s="4" t="s">
        <v>13</v>
      </c>
      <c r="E6" s="4">
        <v>1.9</v>
      </c>
      <c r="F6" s="4">
        <v>1</v>
      </c>
      <c r="G6" s="4">
        <f t="shared" si="0"/>
        <v>1.9</v>
      </c>
    </row>
    <row r="7" spans="2:7" x14ac:dyDescent="0.3">
      <c r="B7" s="4">
        <v>5</v>
      </c>
      <c r="C7" s="4" t="s">
        <v>40</v>
      </c>
      <c r="D7" s="4" t="s">
        <v>76</v>
      </c>
      <c r="E7" s="4">
        <v>23.99</v>
      </c>
      <c r="F7" s="4">
        <v>1</v>
      </c>
      <c r="G7" s="4">
        <f t="shared" si="0"/>
        <v>23.99</v>
      </c>
    </row>
    <row r="8" spans="2:7" x14ac:dyDescent="0.3">
      <c r="B8" s="4">
        <v>6</v>
      </c>
      <c r="C8" s="4" t="s">
        <v>41</v>
      </c>
      <c r="D8" s="4" t="s">
        <v>59</v>
      </c>
      <c r="E8" s="4">
        <v>11.9</v>
      </c>
      <c r="F8" s="4">
        <v>1</v>
      </c>
      <c r="G8" s="4">
        <f t="shared" si="0"/>
        <v>11.9</v>
      </c>
    </row>
    <row r="9" spans="2:7" x14ac:dyDescent="0.3">
      <c r="B9" s="4">
        <v>7</v>
      </c>
      <c r="C9" s="4" t="s">
        <v>42</v>
      </c>
      <c r="D9" s="4" t="s">
        <v>10</v>
      </c>
      <c r="E9" s="4">
        <v>74.900000000000006</v>
      </c>
      <c r="F9" s="4">
        <v>1</v>
      </c>
      <c r="G9" s="4">
        <f t="shared" si="0"/>
        <v>74.900000000000006</v>
      </c>
    </row>
    <row r="10" spans="2:7" x14ac:dyDescent="0.3">
      <c r="B10" s="4">
        <v>8</v>
      </c>
      <c r="C10" s="4" t="s">
        <v>88</v>
      </c>
      <c r="D10" s="4" t="s">
        <v>89</v>
      </c>
      <c r="E10" s="4">
        <v>9.99</v>
      </c>
      <c r="F10" s="4">
        <v>1</v>
      </c>
      <c r="G10" s="4">
        <f t="shared" si="0"/>
        <v>9.99</v>
      </c>
    </row>
    <row r="11" spans="2:7" x14ac:dyDescent="0.3">
      <c r="B11" s="4">
        <v>9</v>
      </c>
      <c r="C11" s="4" t="s">
        <v>88</v>
      </c>
      <c r="D11" s="4" t="s">
        <v>90</v>
      </c>
      <c r="E11" s="4">
        <v>1.5</v>
      </c>
      <c r="F11" s="4">
        <v>1</v>
      </c>
      <c r="G11" s="4">
        <f t="shared" si="0"/>
        <v>1.5</v>
      </c>
    </row>
    <row r="12" spans="2:7" x14ac:dyDescent="0.3">
      <c r="G12" s="29">
        <f>SUM(G3:G11)</f>
        <v>282.98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8612-5257-4CA6-AFE7-32722CCED7BD}">
  <dimension ref="A2:E3"/>
  <sheetViews>
    <sheetView zoomScale="130" zoomScaleNormal="130" workbookViewId="0">
      <selection activeCell="E4" sqref="E4"/>
    </sheetView>
  </sheetViews>
  <sheetFormatPr defaultRowHeight="14.4" x14ac:dyDescent="0.3"/>
  <cols>
    <col min="1" max="1" width="13.77734375" customWidth="1"/>
    <col min="2" max="8" width="17.77734375" customWidth="1"/>
  </cols>
  <sheetData>
    <row r="2" spans="1:5" x14ac:dyDescent="0.3">
      <c r="A2" s="4" t="s">
        <v>0</v>
      </c>
      <c r="B2" s="4" t="s">
        <v>67</v>
      </c>
      <c r="C2" s="4" t="s">
        <v>69</v>
      </c>
      <c r="D2" s="4" t="s">
        <v>19</v>
      </c>
      <c r="E2" s="4" t="s">
        <v>25</v>
      </c>
    </row>
    <row r="3" spans="1:5" x14ac:dyDescent="0.3">
      <c r="A3" s="4" t="s">
        <v>68</v>
      </c>
      <c r="B3" s="4" t="s">
        <v>43</v>
      </c>
      <c r="C3" s="4" t="s">
        <v>46</v>
      </c>
      <c r="D3" s="4" t="s">
        <v>44</v>
      </c>
      <c r="E3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Hardware BOM</vt:lpstr>
      <vt:lpstr>Expenditure</vt:lpstr>
      <vt:lpstr>Current Running Part No.s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Nalawade</cp:lastModifiedBy>
  <cp:lastPrinted>2026-09-20T16:42:46Z</cp:lastPrinted>
  <dcterms:created xsi:type="dcterms:W3CDTF">2026-09-20T13:38:07Z</dcterms:created>
  <dcterms:modified xsi:type="dcterms:W3CDTF">2026-10-08T12:28:25Z</dcterms:modified>
</cp:coreProperties>
</file>